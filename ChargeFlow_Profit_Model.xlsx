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Unit Economics" sheetId="2" state="visible" r:id="rId4"/>
    <sheet name="5-Year Projection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<sst xmlns="http://schemas.openxmlformats.org/spreadsheetml/2006/main" count="95" uniqueCount="92">
  <si>
    <t xml:space="preserve">ChargeFlow Technologies Inc. — Profit Model</t>
  </si>
  <si>
    <t xml:space="preserve">Yellow cells are editable assumptions. Replace with real figures as pilot data comes in.</t>
  </si>
  <si>
    <t xml:space="preserve">Business model (per site copy): the property owner pays for hardware &amp; installation; ChargeFlow earns an install margin, a share of charging revenue, and a platform fee.</t>
  </si>
  <si>
    <t xml:space="preserve">Charging revenue</t>
  </si>
  <si>
    <t xml:space="preserve">Charging price ($/kWh)</t>
  </si>
  <si>
    <t xml:space="preserve">Illustrative — typical Canadian public L2/DC pricing is ~$0.30-0.60/kWh</t>
  </si>
  <si>
    <t xml:space="preserve">Wireless transfer efficiency</t>
  </si>
  <si>
    <t xml:space="preserve">From Tier A/B technical spec — energy delivered vs. drawn from grid</t>
  </si>
  <si>
    <t xml:space="preserve">Electricity cost ($/kWh, wholesale/commercial)</t>
  </si>
  <si>
    <t xml:space="preserve">Ontario commercial rate, illustrative; assumed borne by ChargeFlow (netted from its revenue share)</t>
  </si>
  <si>
    <t xml:space="preserve">Drive-thru site (3 charging zones per lane)</t>
  </si>
  <si>
    <t xml:space="preserve">Energy delivered per session (kWh)</t>
  </si>
  <si>
    <t xml:space="preserve">~5 min dwell at effective ~6 kW after efficiency losses</t>
  </si>
  <si>
    <t xml:space="preserve">Charging sessions per zone per day (Year 1)</t>
  </si>
  <si>
    <t xml:space="preserve">Early-stage EV traffic estimate — grows with EV adoption (see growth rate below)</t>
  </si>
  <si>
    <t xml:space="preserve">Zones per drive-thru site</t>
  </si>
  <si>
    <t xml:space="preserve">Install cost per drive-thru site (paid by property owner)</t>
  </si>
  <si>
    <t xml:space="preserve">Midpoint of Tier B estimate ($14,950-$36,570) from technical spec</t>
  </si>
  <si>
    <t xml:space="preserve">Parking-stall site (1 charging zone per stall)</t>
  </si>
  <si>
    <t xml:space="preserve">~45 min dwell at effective ~6 kW after efficiency losses</t>
  </si>
  <si>
    <t xml:space="preserve">Charging sessions per stall per day (Year 1)</t>
  </si>
  <si>
    <t xml:space="preserve">Early-stage estimate for a single marked stall</t>
  </si>
  <si>
    <t xml:space="preserve">Install cost per parking site (paid by property owner)</t>
  </si>
  <si>
    <t xml:space="preserve">Single-zone install - shares less fixed overhead than a 3-zone lane</t>
  </si>
  <si>
    <t xml:space="preserve">ChargeFlow's revenue per site</t>
  </si>
  <si>
    <t xml:space="preserve">Installation margin ChargeFlow earns</t>
  </si>
  <si>
    <t xml:space="preserve">Property owner pays cost + this markup for hardware &amp; install; the markup is ChargeFlow's one-time profit</t>
  </si>
  <si>
    <t xml:space="preserve">Platform / monitoring fee per site ($/month)</t>
  </si>
  <si>
    <t xml:space="preserve">Kept 100% by ChargeFlow</t>
  </si>
  <si>
    <t xml:space="preserve">Property owner's share of charging revenue</t>
  </si>
  <si>
    <t xml:space="preserve">ChargeFlow keeps the remaining 65% of per-session charging revenue</t>
  </si>
  <si>
    <t xml:space="preserve">Maintenance &amp; support cost per site ($/year)</t>
  </si>
  <si>
    <t xml:space="preserve">Borne by ChargeFlow</t>
  </si>
  <si>
    <t xml:space="preserve">Operating days per year</t>
  </si>
  <si>
    <t xml:space="preserve">Growth &amp; rollout</t>
  </si>
  <si>
    <t xml:space="preserve">Annual growth in sessions/site (EV adoption ramp)</t>
  </si>
  <si>
    <t xml:space="preserve">Applied economy-wide each year to all sites, mature and new alike</t>
  </si>
  <si>
    <t xml:space="preserve">Share of new sites that are drive-thru (vs. parking)</t>
  </si>
  <si>
    <t xml:space="preserve">First-year revenue ramp factor for newly installed sites</t>
  </si>
  <si>
    <t xml:space="preserve">A site installed mid-year earns a partial year of revenue</t>
  </si>
  <si>
    <t xml:space="preserve">New sites - Year 1 (pilot)</t>
  </si>
  <si>
    <t xml:space="preserve">New sites - Year 2</t>
  </si>
  <si>
    <t xml:space="preserve">New sites - Year 3</t>
  </si>
  <si>
    <t xml:space="preserve">New sites - Year 4</t>
  </si>
  <si>
    <t xml:space="preserve">New sites - Year 5</t>
  </si>
  <si>
    <t xml:space="preserve">Company overhead (team, admin, R&amp;D - not site-specific)</t>
  </si>
  <si>
    <t xml:space="preserve">Overhead - Year 1</t>
  </si>
  <si>
    <t xml:space="preserve">Founding team, R&amp;D, admin</t>
  </si>
  <si>
    <t xml:space="preserve">Overhead - Year 2</t>
  </si>
  <si>
    <t xml:space="preserve">Overhead - Year 3</t>
  </si>
  <si>
    <t xml:space="preserve">Overhead - Year 4</t>
  </si>
  <si>
    <t xml:space="preserve">Overhead - Year 5</t>
  </si>
  <si>
    <t xml:space="preserve">Per-Site Unit Economics (Year-1 baseline, before EV-adoption growth)</t>
  </si>
  <si>
    <t xml:space="preserve">What ChargeFlow earns from a single installation. Hardware/install cost is paid by the property owner, not ChargeFlow.</t>
  </si>
  <si>
    <t xml:space="preserve">Drive-thru site</t>
  </si>
  <si>
    <t xml:space="preserve">Parking site</t>
  </si>
  <si>
    <t xml:space="preserve">Sessions per day</t>
  </si>
  <si>
    <t xml:space="preserve">kWh delivered per year</t>
  </si>
  <si>
    <t xml:space="preserve">Charging revenue billed to driver (kWh x price)</t>
  </si>
  <si>
    <t xml:space="preserve">  less: property owner's share</t>
  </si>
  <si>
    <t xml:space="preserve">  = ChargeFlow's charging revenue</t>
  </si>
  <si>
    <t xml:space="preserve">Platform / monitoring fee revenue (100% ChargeFlow)</t>
  </si>
  <si>
    <t xml:space="preserve">ChargeFlow recurring revenue (charging share + platform)</t>
  </si>
  <si>
    <t xml:space="preserve">Less: electricity cost (grid draw incl. losses)</t>
  </si>
  <si>
    <t xml:space="preserve">Less: maintenance &amp; support</t>
  </si>
  <si>
    <t xml:space="preserve">Recurring site profit (before overhead)</t>
  </si>
  <si>
    <t xml:space="preserve">Recurring margin (% of ChargeFlow revenue)</t>
  </si>
  <si>
    <t xml:space="preserve">Install cost (paid by property owner, not ChargeFlow)</t>
  </si>
  <si>
    <t xml:space="preserve">ChargeFlow's one-time installation margin</t>
  </si>
  <si>
    <t xml:space="preserve">5-Year Profit Projection</t>
  </si>
  <si>
    <t xml:space="preserve">Recurring revenue grows each year with EV adoption. Property owners fund hardware/install; ChargeFlow earns the install margin, not the full cost.</t>
  </si>
  <si>
    <t xml:space="preserve">Year 1</t>
  </si>
  <si>
    <t xml:space="preserve">Year 2</t>
  </si>
  <si>
    <t xml:space="preserve">Year 3</t>
  </si>
  <si>
    <t xml:space="preserve">Year 4</t>
  </si>
  <si>
    <t xml:space="preserve">Year 5</t>
  </si>
  <si>
    <t xml:space="preserve">New sites added this year</t>
  </si>
  <si>
    <t xml:space="preserve">  of which, new drive-thru sites</t>
  </si>
  <si>
    <t xml:space="preserve">  of which, new parking sites</t>
  </si>
  <si>
    <t xml:space="preserve">Cumulative drive-thru sites (end of year)</t>
  </si>
  <si>
    <t xml:space="preserve">Cumulative parking sites (end of year)</t>
  </si>
  <si>
    <t xml:space="preserve">Total sites (end of year)</t>
  </si>
  <si>
    <t xml:space="preserve">Mature drive-thru sites (installed prior years)</t>
  </si>
  <si>
    <t xml:space="preserve">0</t>
  </si>
  <si>
    <t xml:space="preserve">Mature parking sites (installed prior years)</t>
  </si>
  <si>
    <t xml:space="preserve">Recurring revenue (charging share + platform fees)</t>
  </si>
  <si>
    <t xml:space="preserve">One-time installation margin (new sites this year)</t>
  </si>
  <si>
    <t xml:space="preserve">Gross profit (recurring + installation margin)</t>
  </si>
  <si>
    <t xml:space="preserve">Less: company overhead (team, admin, R&amp;D)</t>
  </si>
  <si>
    <t xml:space="preserve">Net profit</t>
  </si>
  <si>
    <t xml:space="preserve">Net margin (% of recurring revenue)</t>
  </si>
  <si>
    <t xml:space="preserve">Cumulative net profit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</si>
</sst>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$#,##0.00;&quot;($&quot;#,##0.00\);\-"/>
    <numFmt numFmtId="166" formatCode="0.0%"/>
    <numFmt numFmtId="167" formatCode="0"/>
    <numFmt numFmtId="168" formatCode="\$#,##0;&quot;($&quot;#,##0\);\-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A5F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1"/>
      <color rgb="FF1F3A5F"/>
      <name val="Arial"/>
      <family val="0"/>
      <charset val="1"/>
    </font>
    <font>
      <sz val="10.5"/>
      <name val="Arial"/>
      <family val="0"/>
      <charset val="1"/>
    </font>
    <font>
      <sz val="11"/>
      <color rgb="FF0000FF"/>
      <name val="Cambria"/>
      <family val="0"/>
      <charset val="1"/>
    </font>
    <font>
      <sz val="10.5"/>
      <color rgb="FF000000"/>
      <name val="Arial"/>
      <family val="0"/>
      <charset val="1"/>
    </font>
    <font>
      <b val="true"/>
      <sz val="10.5"/>
      <name val="Arial"/>
      <family val="0"/>
      <charset val="1"/>
    </font>
    <font>
      <b val="true"/>
      <sz val="10.5"/>
      <color rgb="FF1F3A5F"/>
      <name val="Arial"/>
      <family val="0"/>
      <charset val="1"/>
    </font>
    <font>
      <b val="true"/>
      <sz val="12"/>
      <color rgb="FFFFFFF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EAEFF3"/>
        <bgColor rgb="FFF3F0E6"/>
      </patternFill>
    </fill>
    <fill>
      <patternFill patternType="solid">
        <fgColor rgb="FFFFFF00"/>
        <bgColor rgb="FFFFFF00"/>
      </patternFill>
    </fill>
    <fill>
      <patternFill patternType="solid">
        <fgColor rgb="FFF3F0E6"/>
        <bgColor rgb="FFEAEFF3"/>
      </patternFill>
    </fill>
    <fill>
      <patternFill patternType="solid">
        <fgColor rgb="FF1F3A5F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3F0E6"/>
      <rgbColor rgb="FFEAEFF3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4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4"/>
    <col collapsed="false" customWidth="true" hidden="false" outlineLevel="0" max="3" min="3" style="0" width="16"/>
    <col collapsed="false" customWidth="true" hidden="false" outlineLevel="0" max="4" min="4" style="0" width="50"/>
  </cols>
  <sheetData>
    <row r="2" customFormat="false" ht="19.7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4" customFormat="false" ht="15" hidden="false" customHeight="false" outlineLevel="0" collapsed="false">
      <c r="B4" s="2" t="s">
        <v>2</v>
      </c>
    </row>
    <row r="6" customFormat="false" ht="15" hidden="false" customHeight="false" outlineLevel="0" collapsed="false">
      <c r="B6" s="3" t="s">
        <v>3</v>
      </c>
      <c r="C6" s="4"/>
      <c r="D6" s="4"/>
    </row>
    <row r="7" customFormat="false" ht="15" hidden="false" customHeight="false" outlineLevel="0" collapsed="false">
      <c r="B7" s="5" t="s">
        <v>4</v>
      </c>
      <c r="C7" s="6" t="n">
        <v>0.45</v>
      </c>
      <c r="D7" s="2" t="s">
        <v>5</v>
      </c>
    </row>
    <row r="8" customFormat="false" ht="15" hidden="false" customHeight="false" outlineLevel="0" collapsed="false">
      <c r="B8" s="5" t="s">
        <v>6</v>
      </c>
      <c r="C8" s="7" t="n">
        <v>0.7</v>
      </c>
      <c r="D8" s="2" t="s">
        <v>7</v>
      </c>
    </row>
    <row r="9" customFormat="false" ht="15" hidden="false" customHeight="false" outlineLevel="0" collapsed="false">
      <c r="B9" s="5" t="s">
        <v>8</v>
      </c>
      <c r="C9" s="6" t="n">
        <v>0.13</v>
      </c>
      <c r="D9" s="2" t="s">
        <v>9</v>
      </c>
    </row>
    <row r="11" customFormat="false" ht="15" hidden="false" customHeight="false" outlineLevel="0" collapsed="false">
      <c r="B11" s="3" t="s">
        <v>10</v>
      </c>
      <c r="C11" s="4"/>
      <c r="D11" s="4"/>
    </row>
    <row r="12" customFormat="false" ht="15" hidden="false" customHeight="false" outlineLevel="0" collapsed="false">
      <c r="B12" s="5" t="s">
        <v>11</v>
      </c>
      <c r="C12" s="6" t="n">
        <v>0.5</v>
      </c>
      <c r="D12" s="2" t="s">
        <v>12</v>
      </c>
    </row>
    <row r="13" customFormat="false" ht="15" hidden="false" customHeight="false" outlineLevel="0" collapsed="false">
      <c r="B13" s="5" t="s">
        <v>13</v>
      </c>
      <c r="C13" s="8" t="n">
        <v>8</v>
      </c>
      <c r="D13" s="2" t="s">
        <v>14</v>
      </c>
    </row>
    <row r="14" customFormat="false" ht="15" hidden="false" customHeight="false" outlineLevel="0" collapsed="false">
      <c r="B14" s="5" t="s">
        <v>15</v>
      </c>
      <c r="C14" s="8" t="n">
        <v>3</v>
      </c>
    </row>
    <row r="15" customFormat="false" ht="15" hidden="false" customHeight="false" outlineLevel="0" collapsed="false">
      <c r="B15" s="5" t="s">
        <v>16</v>
      </c>
      <c r="C15" s="9" t="n">
        <v>25000</v>
      </c>
      <c r="D15" s="2" t="s">
        <v>17</v>
      </c>
    </row>
    <row r="17" customFormat="false" ht="15" hidden="false" customHeight="false" outlineLevel="0" collapsed="false">
      <c r="B17" s="3" t="s">
        <v>18</v>
      </c>
      <c r="C17" s="4"/>
      <c r="D17" s="4"/>
    </row>
    <row r="18" customFormat="false" ht="15" hidden="false" customHeight="false" outlineLevel="0" collapsed="false">
      <c r="B18" s="5" t="s">
        <v>11</v>
      </c>
      <c r="C18" s="6" t="n">
        <v>4.5</v>
      </c>
      <c r="D18" s="2" t="s">
        <v>19</v>
      </c>
    </row>
    <row r="19" customFormat="false" ht="15" hidden="false" customHeight="false" outlineLevel="0" collapsed="false">
      <c r="B19" s="5" t="s">
        <v>20</v>
      </c>
      <c r="C19" s="8" t="n">
        <v>5</v>
      </c>
      <c r="D19" s="2" t="s">
        <v>21</v>
      </c>
    </row>
    <row r="20" customFormat="false" ht="15" hidden="false" customHeight="false" outlineLevel="0" collapsed="false">
      <c r="B20" s="5" t="s">
        <v>22</v>
      </c>
      <c r="C20" s="9" t="n">
        <v>15000</v>
      </c>
      <c r="D20" s="2" t="s">
        <v>23</v>
      </c>
    </row>
    <row r="22" customFormat="false" ht="15" hidden="false" customHeight="false" outlineLevel="0" collapsed="false">
      <c r="B22" s="3" t="s">
        <v>24</v>
      </c>
      <c r="C22" s="4"/>
      <c r="D22" s="4"/>
    </row>
    <row r="23" customFormat="false" ht="15" hidden="false" customHeight="false" outlineLevel="0" collapsed="false">
      <c r="B23" s="5" t="s">
        <v>25</v>
      </c>
      <c r="C23" s="7" t="n">
        <v>0.2</v>
      </c>
      <c r="D23" s="2" t="s">
        <v>26</v>
      </c>
    </row>
    <row r="24" customFormat="false" ht="15" hidden="false" customHeight="false" outlineLevel="0" collapsed="false">
      <c r="B24" s="5" t="s">
        <v>27</v>
      </c>
      <c r="C24" s="9" t="n">
        <v>150</v>
      </c>
      <c r="D24" s="2" t="s">
        <v>28</v>
      </c>
    </row>
    <row r="25" customFormat="false" ht="15" hidden="false" customHeight="false" outlineLevel="0" collapsed="false">
      <c r="B25" s="5" t="s">
        <v>29</v>
      </c>
      <c r="C25" s="7" t="n">
        <v>0.35</v>
      </c>
      <c r="D25" s="2" t="s">
        <v>30</v>
      </c>
    </row>
    <row r="26" customFormat="false" ht="15" hidden="false" customHeight="false" outlineLevel="0" collapsed="false">
      <c r="B26" s="5" t="s">
        <v>31</v>
      </c>
      <c r="C26" s="9" t="n">
        <v>1200</v>
      </c>
      <c r="D26" s="2" t="s">
        <v>32</v>
      </c>
    </row>
    <row r="27" customFormat="false" ht="15" hidden="false" customHeight="false" outlineLevel="0" collapsed="false">
      <c r="B27" s="5" t="s">
        <v>33</v>
      </c>
      <c r="C27" s="8" t="n">
        <v>350</v>
      </c>
    </row>
    <row r="29" customFormat="false" ht="15" hidden="false" customHeight="false" outlineLevel="0" collapsed="false">
      <c r="B29" s="3" t="s">
        <v>34</v>
      </c>
      <c r="C29" s="4"/>
      <c r="D29" s="4"/>
    </row>
    <row r="30" customFormat="false" ht="15" hidden="false" customHeight="false" outlineLevel="0" collapsed="false">
      <c r="B30" s="5" t="s">
        <v>35</v>
      </c>
      <c r="C30" s="7" t="n">
        <v>0.2</v>
      </c>
      <c r="D30" s="2" t="s">
        <v>36</v>
      </c>
    </row>
    <row r="31" customFormat="false" ht="15" hidden="false" customHeight="false" outlineLevel="0" collapsed="false">
      <c r="B31" s="5" t="s">
        <v>37</v>
      </c>
      <c r="C31" s="7" t="n">
        <v>0.6</v>
      </c>
    </row>
    <row r="32" customFormat="false" ht="15" hidden="false" customHeight="false" outlineLevel="0" collapsed="false">
      <c r="B32" s="5" t="s">
        <v>38</v>
      </c>
      <c r="C32" s="7" t="n">
        <v>0.5</v>
      </c>
      <c r="D32" s="2" t="s">
        <v>39</v>
      </c>
    </row>
    <row r="33" customFormat="false" ht="15" hidden="false" customHeight="false" outlineLevel="0" collapsed="false">
      <c r="B33" s="5" t="s">
        <v>40</v>
      </c>
      <c r="C33" s="8" t="n">
        <v>1</v>
      </c>
    </row>
    <row r="34" customFormat="false" ht="15" hidden="false" customHeight="false" outlineLevel="0" collapsed="false">
      <c r="B34" s="5" t="s">
        <v>41</v>
      </c>
      <c r="C34" s="8" t="n">
        <v>5</v>
      </c>
    </row>
    <row r="35" customFormat="false" ht="15" hidden="false" customHeight="false" outlineLevel="0" collapsed="false">
      <c r="B35" s="5" t="s">
        <v>42</v>
      </c>
      <c r="C35" s="8" t="n">
        <v>12</v>
      </c>
    </row>
    <row r="36" customFormat="false" ht="15" hidden="false" customHeight="false" outlineLevel="0" collapsed="false">
      <c r="B36" s="5" t="s">
        <v>43</v>
      </c>
      <c r="C36" s="8" t="n">
        <v>22</v>
      </c>
    </row>
    <row r="37" customFormat="false" ht="15" hidden="false" customHeight="false" outlineLevel="0" collapsed="false">
      <c r="B37" s="5" t="s">
        <v>44</v>
      </c>
      <c r="C37" s="8" t="n">
        <v>35</v>
      </c>
    </row>
    <row r="39" customFormat="false" ht="15" hidden="false" customHeight="false" outlineLevel="0" collapsed="false">
      <c r="B39" s="3" t="s">
        <v>45</v>
      </c>
      <c r="C39" s="4"/>
      <c r="D39" s="4"/>
    </row>
    <row r="40" customFormat="false" ht="15" hidden="false" customHeight="false" outlineLevel="0" collapsed="false">
      <c r="B40" s="5" t="s">
        <v>46</v>
      </c>
      <c r="C40" s="9" t="n">
        <v>180000</v>
      </c>
      <c r="D40" s="2" t="s">
        <v>47</v>
      </c>
    </row>
    <row r="41" customFormat="false" ht="15" hidden="false" customHeight="false" outlineLevel="0" collapsed="false">
      <c r="B41" s="5" t="s">
        <v>48</v>
      </c>
      <c r="C41" s="9" t="n">
        <v>260000</v>
      </c>
    </row>
    <row r="42" customFormat="false" ht="15" hidden="false" customHeight="false" outlineLevel="0" collapsed="false">
      <c r="B42" s="5" t="s">
        <v>49</v>
      </c>
      <c r="C42" s="9" t="n">
        <v>380000</v>
      </c>
    </row>
    <row r="43" customFormat="false" ht="15" hidden="false" customHeight="false" outlineLevel="0" collapsed="false">
      <c r="B43" s="5" t="s">
        <v>50</v>
      </c>
      <c r="C43" s="9" t="n">
        <v>520000</v>
      </c>
    </row>
    <row r="44" customFormat="false" ht="15" hidden="false" customHeight="false" outlineLevel="0" collapsed="false">
      <c r="B44" s="5" t="s">
        <v>51</v>
      </c>
      <c r="C44" s="9" t="n">
        <v>700000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6"/>
    <col collapsed="false" customWidth="true" hidden="false" outlineLevel="0" max="4" min="3" style="0" width="18"/>
    <col collapsed="false" customWidth="true" hidden="false" outlineLevel="0" max="5" min="5" style="0" width="50"/>
  </cols>
  <sheetData>
    <row r="2" customFormat="false" ht="19.7" hidden="false" customHeight="false" outlineLevel="0" collapsed="false">
      <c r="B2" s="1" t="s">
        <v>52</v>
      </c>
    </row>
    <row r="3" customFormat="false" ht="15" hidden="false" customHeight="false" outlineLevel="0" collapsed="false">
      <c r="B3" s="2" t="s">
        <v>53</v>
      </c>
    </row>
    <row r="5" customFormat="false" ht="15" hidden="false" customHeight="false" outlineLevel="0" collapsed="false">
      <c r="C5" s="3" t="s">
        <v>54</v>
      </c>
      <c r="D5" s="3" t="s">
        <v>55</v>
      </c>
    </row>
    <row r="6" customFormat="false" ht="15" hidden="false" customHeight="false" outlineLevel="0" collapsed="false">
      <c r="B6" s="5" t="s">
        <v>56</v>
      </c>
      <c r="C6" s="10" t="n">
        <f aca="false">Assumptions!$C$13*Assumptions!$C$14</f>
        <v>24</v>
      </c>
      <c r="D6" s="10" t="n">
        <f aca="false">Assumptions!$C$19</f>
        <v>5</v>
      </c>
    </row>
    <row r="7" customFormat="false" ht="15" hidden="false" customHeight="false" outlineLevel="0" collapsed="false">
      <c r="B7" s="5" t="s">
        <v>57</v>
      </c>
      <c r="C7" s="10" t="n">
        <f aca="false">C6*Assumptions!$C$12*Assumptions!$C$27</f>
        <v>4200</v>
      </c>
      <c r="D7" s="10" t="n">
        <f aca="false">D6*Assumptions!$C$18*Assumptions!$C$27</f>
        <v>7875</v>
      </c>
    </row>
    <row r="9" customFormat="false" ht="15" hidden="false" customHeight="false" outlineLevel="0" collapsed="false">
      <c r="B9" s="5" t="s">
        <v>58</v>
      </c>
      <c r="C9" s="11" t="n">
        <f aca="false">C7*Assumptions!$C$7</f>
        <v>1890</v>
      </c>
      <c r="D9" s="11" t="n">
        <f aca="false">D7*Assumptions!$C$7</f>
        <v>3543.75</v>
      </c>
    </row>
    <row r="10" customFormat="false" ht="15" hidden="false" customHeight="false" outlineLevel="0" collapsed="false">
      <c r="B10" s="5" t="s">
        <v>59</v>
      </c>
      <c r="C10" s="11" t="n">
        <f aca="false">-C9*Assumptions!$C$25</f>
        <v>-661.5</v>
      </c>
      <c r="D10" s="11" t="n">
        <f aca="false">-D9*Assumptions!$C$25</f>
        <v>-1240.3125</v>
      </c>
    </row>
    <row r="11" customFormat="false" ht="15" hidden="false" customHeight="false" outlineLevel="0" collapsed="false">
      <c r="B11" s="5" t="s">
        <v>60</v>
      </c>
      <c r="C11" s="11" t="n">
        <f aca="false">C9+C10</f>
        <v>1228.5</v>
      </c>
      <c r="D11" s="11" t="n">
        <f aca="false">D9+D10</f>
        <v>2303.4375</v>
      </c>
    </row>
    <row r="12" customFormat="false" ht="15" hidden="false" customHeight="false" outlineLevel="0" collapsed="false">
      <c r="B12" s="5" t="s">
        <v>61</v>
      </c>
      <c r="C12" s="11" t="n">
        <f aca="false">Assumptions!$C$24*12</f>
        <v>1800</v>
      </c>
      <c r="D12" s="11" t="n">
        <f aca="false">Assumptions!$C$24*12</f>
        <v>1800</v>
      </c>
    </row>
    <row r="13" customFormat="false" ht="15" hidden="false" customHeight="false" outlineLevel="0" collapsed="false">
      <c r="B13" s="12" t="s">
        <v>62</v>
      </c>
      <c r="C13" s="13" t="n">
        <f aca="false">C11+C12</f>
        <v>3028.5</v>
      </c>
      <c r="D13" s="13" t="n">
        <f aca="false">D11+D12</f>
        <v>4103.4375</v>
      </c>
    </row>
    <row r="15" customFormat="false" ht="15" hidden="false" customHeight="false" outlineLevel="0" collapsed="false">
      <c r="B15" s="5" t="s">
        <v>63</v>
      </c>
      <c r="C15" s="11" t="n">
        <f aca="false">-C7/Assumptions!$C$8*Assumptions!$C$9</f>
        <v>-780</v>
      </c>
      <c r="D15" s="11" t="n">
        <f aca="false">-D7/Assumptions!$C$8*Assumptions!$C$9</f>
        <v>-1462.5</v>
      </c>
    </row>
    <row r="16" customFormat="false" ht="15" hidden="false" customHeight="false" outlineLevel="0" collapsed="false">
      <c r="B16" s="5" t="s">
        <v>64</v>
      </c>
      <c r="C16" s="11" t="n">
        <f aca="false">-Assumptions!$C$26</f>
        <v>-1200</v>
      </c>
      <c r="D16" s="11" t="n">
        <f aca="false">-Assumptions!$C$26</f>
        <v>-1200</v>
      </c>
    </row>
    <row r="17" customFormat="false" ht="15" hidden="false" customHeight="false" outlineLevel="0" collapsed="false">
      <c r="B17" s="12" t="s">
        <v>65</v>
      </c>
      <c r="C17" s="13" t="n">
        <f aca="false">C13+C15+C16</f>
        <v>1048.5</v>
      </c>
      <c r="D17" s="13" t="n">
        <f aca="false">D13+D15+D16</f>
        <v>1440.9375</v>
      </c>
    </row>
    <row r="18" customFormat="false" ht="15" hidden="false" customHeight="false" outlineLevel="0" collapsed="false">
      <c r="B18" s="5" t="s">
        <v>66</v>
      </c>
      <c r="C18" s="14" t="n">
        <f aca="false">C17/C13</f>
        <v>0.346210995542348</v>
      </c>
      <c r="D18" s="14" t="n">
        <f aca="false">D17/D13</f>
        <v>0.351153758281928</v>
      </c>
    </row>
    <row r="20" customFormat="false" ht="15" hidden="false" customHeight="false" outlineLevel="0" collapsed="false">
      <c r="B20" s="5" t="s">
        <v>67</v>
      </c>
      <c r="C20" s="11" t="n">
        <f aca="false">Assumptions!$C$15</f>
        <v>25000</v>
      </c>
      <c r="D20" s="11" t="n">
        <f aca="false">Assumptions!$C$20</f>
        <v>15000</v>
      </c>
    </row>
    <row r="21" customFormat="false" ht="15" hidden="false" customHeight="false" outlineLevel="0" collapsed="false">
      <c r="B21" s="12" t="s">
        <v>68</v>
      </c>
      <c r="C21" s="13" t="n">
        <f aca="false">C20*Assumptions!$C$23</f>
        <v>5000</v>
      </c>
      <c r="D21" s="13" t="n">
        <f aca="false">D20*Assumptions!$C$23</f>
        <v>3000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6"/>
    <col collapsed="false" customWidth="true" hidden="false" outlineLevel="0" max="7" min="3" style="0" width="14"/>
  </cols>
  <sheetData>
    <row r="2" customFormat="false" ht="19.7" hidden="false" customHeight="false" outlineLevel="0" collapsed="false">
      <c r="B2" s="1" t="s">
        <v>69</v>
      </c>
    </row>
    <row r="3" customFormat="false" ht="15" hidden="false" customHeight="false" outlineLevel="0" collapsed="false">
      <c r="B3" s="2" t="s">
        <v>70</v>
      </c>
    </row>
    <row r="5" customFormat="false" ht="15" hidden="false" customHeight="false" outlineLevel="0" collapsed="false">
      <c r="C5" s="15" t="s">
        <v>71</v>
      </c>
      <c r="D5" s="15" t="s">
        <v>72</v>
      </c>
      <c r="E5" s="15" t="s">
        <v>73</v>
      </c>
      <c r="F5" s="15" t="s">
        <v>74</v>
      </c>
      <c r="G5" s="15" t="s">
        <v>75</v>
      </c>
    </row>
    <row r="6" customFormat="false" ht="15" hidden="false" customHeight="false" outlineLevel="0" collapsed="false">
      <c r="B6" s="5" t="s">
        <v>76</v>
      </c>
      <c r="C6" s="10" t="n">
        <f aca="false">Assumptions!$C$33</f>
        <v>1</v>
      </c>
      <c r="D6" s="10" t="n">
        <f aca="false">Assumptions!$C$34</f>
        <v>5</v>
      </c>
      <c r="E6" s="10" t="n">
        <f aca="false">Assumptions!$C$35</f>
        <v>12</v>
      </c>
      <c r="F6" s="10" t="n">
        <f aca="false">Assumptions!$C$36</f>
        <v>22</v>
      </c>
      <c r="G6" s="10" t="n">
        <f aca="false">Assumptions!$C$37</f>
        <v>35</v>
      </c>
    </row>
    <row r="7" customFormat="false" ht="15" hidden="false" customHeight="false" outlineLevel="0" collapsed="false">
      <c r="B7" s="5" t="s">
        <v>77</v>
      </c>
      <c r="C7" s="10" t="n">
        <f aca="false">ROUND(C6*Assumptions!$C$31,0)</f>
        <v>1</v>
      </c>
      <c r="D7" s="10" t="n">
        <f aca="false">ROUND(D6*Assumptions!$C$31,0)</f>
        <v>3</v>
      </c>
      <c r="E7" s="10" t="n">
        <f aca="false">ROUND(E6*Assumptions!$C$31,0)</f>
        <v>7</v>
      </c>
      <c r="F7" s="10" t="n">
        <f aca="false">ROUND(F6*Assumptions!$C$31,0)</f>
        <v>13</v>
      </c>
      <c r="G7" s="10" t="n">
        <f aca="false">ROUND(G6*Assumptions!$C$31,0)</f>
        <v>21</v>
      </c>
    </row>
    <row r="8" customFormat="false" ht="15" hidden="false" customHeight="false" outlineLevel="0" collapsed="false">
      <c r="B8" s="5" t="s">
        <v>78</v>
      </c>
      <c r="C8" s="10" t="n">
        <f aca="false">C6-C7</f>
        <v>0</v>
      </c>
      <c r="D8" s="10" t="n">
        <f aca="false">D6-D7</f>
        <v>2</v>
      </c>
      <c r="E8" s="10" t="n">
        <f aca="false">E6-E7</f>
        <v>5</v>
      </c>
      <c r="F8" s="10" t="n">
        <f aca="false">F6-F7</f>
        <v>9</v>
      </c>
      <c r="G8" s="10" t="n">
        <f aca="false">G6-G7</f>
        <v>14</v>
      </c>
    </row>
    <row r="10" customFormat="false" ht="15" hidden="false" customHeight="false" outlineLevel="0" collapsed="false">
      <c r="B10" s="5" t="s">
        <v>79</v>
      </c>
      <c r="C10" s="10" t="n">
        <f aca="false">0+C7</f>
        <v>1</v>
      </c>
      <c r="D10" s="10" t="n">
        <f aca="false">C10+D7</f>
        <v>4</v>
      </c>
      <c r="E10" s="10" t="n">
        <f aca="false">D10+E7</f>
        <v>11</v>
      </c>
      <c r="F10" s="10" t="n">
        <f aca="false">E10+F7</f>
        <v>24</v>
      </c>
      <c r="G10" s="10" t="n">
        <f aca="false">F10+G7</f>
        <v>45</v>
      </c>
    </row>
    <row r="11" customFormat="false" ht="15" hidden="false" customHeight="false" outlineLevel="0" collapsed="false">
      <c r="B11" s="5" t="s">
        <v>80</v>
      </c>
      <c r="C11" s="10" t="n">
        <f aca="false">0+C8</f>
        <v>0</v>
      </c>
      <c r="D11" s="10" t="n">
        <f aca="false">C11+D8</f>
        <v>2</v>
      </c>
      <c r="E11" s="10" t="n">
        <f aca="false">D11+E8</f>
        <v>7</v>
      </c>
      <c r="F11" s="10" t="n">
        <f aca="false">E11+F8</f>
        <v>16</v>
      </c>
      <c r="G11" s="10" t="n">
        <f aca="false">F11+G8</f>
        <v>30</v>
      </c>
    </row>
    <row r="12" customFormat="false" ht="15" hidden="false" customHeight="false" outlineLevel="0" collapsed="false">
      <c r="B12" s="12" t="s">
        <v>81</v>
      </c>
      <c r="C12" s="16" t="n">
        <f aca="false">C10+C11</f>
        <v>1</v>
      </c>
      <c r="D12" s="16" t="n">
        <f aca="false">D10+D11</f>
        <v>6</v>
      </c>
      <c r="E12" s="16" t="n">
        <f aca="false">E10+E11</f>
        <v>18</v>
      </c>
      <c r="F12" s="16" t="n">
        <f aca="false">F10+F11</f>
        <v>40</v>
      </c>
      <c r="G12" s="16" t="n">
        <f aca="false">G10+G11</f>
        <v>75</v>
      </c>
    </row>
    <row r="14" customFormat="false" ht="15" hidden="false" customHeight="false" outlineLevel="0" collapsed="false">
      <c r="B14" s="5" t="s">
        <v>82</v>
      </c>
      <c r="C14" s="10" t="s">
        <v>83</v>
      </c>
      <c r="D14" s="10" t="n">
        <f aca="false">C10</f>
        <v>1</v>
      </c>
      <c r="E14" s="10" t="n">
        <f aca="false">D10</f>
        <v>4</v>
      </c>
      <c r="F14" s="10" t="n">
        <f aca="false">E10</f>
        <v>11</v>
      </c>
      <c r="G14" s="10" t="n">
        <f aca="false">F10</f>
        <v>24</v>
      </c>
    </row>
    <row r="15" customFormat="false" ht="15" hidden="false" customHeight="false" outlineLevel="0" collapsed="false">
      <c r="B15" s="5" t="s">
        <v>84</v>
      </c>
      <c r="C15" s="10" t="s">
        <v>83</v>
      </c>
      <c r="D15" s="10" t="n">
        <f aca="false">C11</f>
        <v>0</v>
      </c>
      <c r="E15" s="10" t="n">
        <f aca="false">D11</f>
        <v>2</v>
      </c>
      <c r="F15" s="10" t="n">
        <f aca="false">E11</f>
        <v>7</v>
      </c>
      <c r="G15" s="10" t="n">
        <f aca="false">F11</f>
        <v>16</v>
      </c>
    </row>
    <row r="17" customFormat="false" ht="15" hidden="false" customHeight="false" outlineLevel="0" collapsed="false">
      <c r="B17" s="12" t="s">
        <v>85</v>
      </c>
      <c r="C17" s="17" t="n">
        <f aca="false">((C14*'Unit Economics'!$C$13+C15*'Unit Economics'!$D$13)+(C7*'Unit Economics'!$C$13+C8*'Unit Economics'!$D$13)*Assumptions!$C$32)*(1+Assumptions!$C$30)^0</f>
        <v>1514.25</v>
      </c>
      <c r="D17" s="17" t="n">
        <f aca="false">((D14*'Unit Economics'!$C$13+D15*'Unit Economics'!$D$13)+(D7*'Unit Economics'!$C$13+D8*'Unit Economics'!$D$13)*Assumptions!$C$32)*(1+Assumptions!$C$30)^1</f>
        <v>14009.625</v>
      </c>
      <c r="E17" s="17" t="n">
        <f aca="false">((E14*'Unit Economics'!$C$13+E15*'Unit Economics'!$D$13)+(E7*'Unit Economics'!$C$13+E8*'Unit Economics'!$D$13)*Assumptions!$C$32)*(1+Assumptions!$C$30)^2</f>
        <v>59298.075</v>
      </c>
      <c r="F17" s="17" t="n">
        <f aca="false">((F14*'Unit Economics'!$C$13+F15*'Unit Economics'!$D$13)+(F7*'Unit Economics'!$C$13+F8*'Unit Economics'!$D$13)*Assumptions!$C$32)*(1+Assumptions!$C$30)^3</f>
        <v>173125.35</v>
      </c>
      <c r="G17" s="17" t="n">
        <f aca="false">((G14*'Unit Economics'!$C$13+G15*'Unit Economics'!$D$13)+(G7*'Unit Economics'!$C$13+G8*'Unit Economics'!$D$13)*Assumptions!$C$32)*(1+Assumptions!$C$30)^4</f>
        <v>412360.8912</v>
      </c>
    </row>
    <row r="18" customFormat="false" ht="15" hidden="false" customHeight="false" outlineLevel="0" collapsed="false">
      <c r="B18" s="5" t="s">
        <v>65</v>
      </c>
      <c r="C18" s="11" t="n">
        <f aca="false">((C14*'Unit Economics'!$C$17+C15*'Unit Economics'!$D$17)+(C7*'Unit Economics'!$C$17+C8*'Unit Economics'!$D$17)*Assumptions!$C$32)*(1+Assumptions!$C$30)^0</f>
        <v>524.25</v>
      </c>
      <c r="D18" s="11" t="n">
        <f aca="false">((D14*'Unit Economics'!$C$17+D15*'Unit Economics'!$D$17)+(D7*'Unit Economics'!$C$17+D8*'Unit Economics'!$D$17)*Assumptions!$C$32)*(1+Assumptions!$C$30)^1</f>
        <v>4874.625</v>
      </c>
      <c r="E18" s="11" t="n">
        <f aca="false">((E14*'Unit Economics'!$C$17+E15*'Unit Economics'!$D$17)+(E7*'Unit Economics'!$C$17+E8*'Unit Economics'!$D$17)*Assumptions!$C$32)*(1+Assumptions!$C$30)^2</f>
        <v>20661.075</v>
      </c>
      <c r="F18" s="11" t="n">
        <f aca="false">((F14*'Unit Economics'!$C$17+F15*'Unit Economics'!$D$17)+(F7*'Unit Economics'!$C$17+F8*'Unit Economics'!$D$17)*Assumptions!$C$32)*(1+Assumptions!$C$30)^3</f>
        <v>60340.95</v>
      </c>
      <c r="G18" s="11" t="n">
        <f aca="false">((G14*'Unit Economics'!$C$17+G15*'Unit Economics'!$D$17)+(G7*'Unit Economics'!$C$17+G8*'Unit Economics'!$D$17)*Assumptions!$C$32)*(1+Assumptions!$C$30)^4</f>
        <v>143731.1952</v>
      </c>
    </row>
    <row r="19" customFormat="false" ht="15" hidden="false" customHeight="false" outlineLevel="0" collapsed="false">
      <c r="B19" s="5" t="s">
        <v>86</v>
      </c>
      <c r="C19" s="11" t="n">
        <f aca="false">C7*'Unit Economics'!$C$21+C8*'Unit Economics'!$D$21</f>
        <v>5000</v>
      </c>
      <c r="D19" s="11" t="n">
        <f aca="false">D7*'Unit Economics'!$C$21+D8*'Unit Economics'!$D$21</f>
        <v>21000</v>
      </c>
      <c r="E19" s="11" t="n">
        <f aca="false">E7*'Unit Economics'!$C$21+E8*'Unit Economics'!$D$21</f>
        <v>50000</v>
      </c>
      <c r="F19" s="11" t="n">
        <f aca="false">F7*'Unit Economics'!$C$21+F8*'Unit Economics'!$D$21</f>
        <v>92000</v>
      </c>
      <c r="G19" s="11" t="n">
        <f aca="false">G7*'Unit Economics'!$C$21+G8*'Unit Economics'!$D$21</f>
        <v>147000</v>
      </c>
    </row>
    <row r="21" customFormat="false" ht="15" hidden="false" customHeight="false" outlineLevel="0" collapsed="false">
      <c r="B21" s="12" t="s">
        <v>87</v>
      </c>
      <c r="C21" s="17" t="n">
        <f aca="false">C18+C19</f>
        <v>5524.25</v>
      </c>
      <c r="D21" s="17" t="n">
        <f aca="false">D18+D19</f>
        <v>25874.625</v>
      </c>
      <c r="E21" s="17" t="n">
        <f aca="false">E18+E19</f>
        <v>70661.075</v>
      </c>
      <c r="F21" s="17" t="n">
        <f aca="false">F18+F19</f>
        <v>152340.95</v>
      </c>
      <c r="G21" s="17" t="n">
        <f aca="false">G18+G19</f>
        <v>290731.1952</v>
      </c>
    </row>
    <row r="22" customFormat="false" ht="15" hidden="false" customHeight="false" outlineLevel="0" collapsed="false">
      <c r="B22" s="5" t="s">
        <v>88</v>
      </c>
      <c r="C22" s="11" t="n">
        <f aca="false">-Assumptions!$C$40</f>
        <v>-180000</v>
      </c>
      <c r="D22" s="11" t="n">
        <f aca="false">-Assumptions!$C$41</f>
        <v>-260000</v>
      </c>
      <c r="E22" s="11" t="n">
        <f aca="false">-Assumptions!$C$42</f>
        <v>-380000</v>
      </c>
      <c r="F22" s="11" t="n">
        <f aca="false">-Assumptions!$C$43</f>
        <v>-520000</v>
      </c>
      <c r="G22" s="11" t="n">
        <f aca="false">-Assumptions!$C$44</f>
        <v>-700000</v>
      </c>
    </row>
    <row r="24" customFormat="false" ht="15" hidden="false" customHeight="false" outlineLevel="0" collapsed="false">
      <c r="B24" s="12" t="s">
        <v>89</v>
      </c>
      <c r="C24" s="17" t="n">
        <f aca="false">C21+C22</f>
        <v>-174475.75</v>
      </c>
      <c r="D24" s="17" t="n">
        <f aca="false">D21+D22</f>
        <v>-234125.375</v>
      </c>
      <c r="E24" s="17" t="n">
        <f aca="false">E21+E22</f>
        <v>-309338.925</v>
      </c>
      <c r="F24" s="17" t="n">
        <f aca="false">F21+F22</f>
        <v>-367659.05</v>
      </c>
      <c r="G24" s="17" t="n">
        <f aca="false">G21+G22</f>
        <v>-409268.8048</v>
      </c>
    </row>
    <row r="25" customFormat="false" ht="15" hidden="false" customHeight="false" outlineLevel="0" collapsed="false">
      <c r="B25" s="5" t="s">
        <v>90</v>
      </c>
      <c r="C25" s="14" t="n">
        <f aca="false">C24/C17</f>
        <v>-115.222552418689</v>
      </c>
      <c r="D25" s="14" t="n">
        <f aca="false">D24/D17</f>
        <v>-16.7117517421059</v>
      </c>
      <c r="E25" s="14" t="n">
        <f aca="false">E24/E17</f>
        <v>-5.21667735419742</v>
      </c>
      <c r="F25" s="14" t="n">
        <f aca="false">F24/F17</f>
        <v>-2.12365808935549</v>
      </c>
      <c r="G25" s="14" t="n">
        <f aca="false">G24/G17</f>
        <v>-0.992501504226063</v>
      </c>
    </row>
    <row r="27" customFormat="false" ht="15" hidden="false" customHeight="false" outlineLevel="0" collapsed="false">
      <c r="B27" s="12" t="s">
        <v>91</v>
      </c>
      <c r="C27" s="13" t="n">
        <f aca="false">0+C24</f>
        <v>-174475.75</v>
      </c>
      <c r="D27" s="13" t="n">
        <f aca="false">C27+D24</f>
        <v>-408601.125</v>
      </c>
      <c r="E27" s="13" t="n">
        <f aca="false">D27+E24</f>
        <v>-717940.05</v>
      </c>
      <c r="F27" s="13" t="n">
        <f aca="false">E27+F24</f>
        <v>-1085599.1</v>
      </c>
      <c r="G27" s="13" t="n">
        <f aca="false">F27+G24</f>
        <v>-1494867.9048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2026-09-03T01:53:01Z</dcterms:created>
  <dc:creator>openpyxl</dc:creator>
  <dc:description/>
  <dc:language>en-US</dc:language>
  <cp:lastModifiedBy/>
  <dcterms:modified xsi:type="dcterms:W3CDTF">2026-09-03T01:53:01Z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